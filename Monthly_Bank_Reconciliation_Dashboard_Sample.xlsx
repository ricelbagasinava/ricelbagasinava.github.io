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k_Reconciliation" sheetId="1" r:id="rId5"/>
    <sheet state="visible" name="Monthly_Financial_Summary" sheetId="2" r:id="rId6"/>
  </sheets>
  <definedNames/>
  <calcPr/>
</workbook>
</file>

<file path=xl/sharedStrings.xml><?xml version="1.0" encoding="utf-8"?>
<sst xmlns="http://schemas.openxmlformats.org/spreadsheetml/2006/main" count="46" uniqueCount="44">
  <si>
    <t>Monthly KPI Overview</t>
  </si>
  <si>
    <t>Metric</t>
  </si>
  <si>
    <t>Financial Metric</t>
  </si>
  <si>
    <t>September 2026 Total</t>
  </si>
  <si>
    <t>Amount</t>
  </si>
  <si>
    <t>Gross Revenue (Invoiced)</t>
  </si>
  <si>
    <t>Ending Bank Balance (Sep 30, 2026)</t>
  </si>
  <si>
    <t>Less: Outstanding AP Payments (Uncleared Bills)</t>
  </si>
  <si>
    <t>Total Operating Expenses (OpEx)</t>
  </si>
  <si>
    <t>Net Operating Income</t>
  </si>
  <si>
    <t>Net Cash Flow (Collected)</t>
  </si>
  <si>
    <t>Plus: Deposits in Transit (Uncollected Invoices)</t>
  </si>
  <si>
    <t>Operating Expense Breakdown</t>
  </si>
  <si>
    <t>Expense Category</t>
  </si>
  <si>
    <t>Amount ($)</t>
  </si>
  <si>
    <t>% of Total OpEx</t>
  </si>
  <si>
    <t>Professional Services &amp; Contractors</t>
  </si>
  <si>
    <t>Adjusted Ending Book Balance</t>
  </si>
  <si>
    <t>Facilities &amp; Repairs</t>
  </si>
  <si>
    <t>Software &amp; Technology</t>
  </si>
  <si>
    <t>Office Supplies &amp; Admin</t>
  </si>
  <si>
    <t>Reconciliation Variance</t>
  </si>
  <si>
    <t>Total Operating Expenses</t>
  </si>
  <si>
    <t>Date</t>
  </si>
  <si>
    <t>Description</t>
  </si>
  <si>
    <t>Category (AP/AR/Expense)</t>
  </si>
  <si>
    <t>Bank Amount</t>
  </si>
  <si>
    <t>Book Amount</t>
  </si>
  <si>
    <t>Variance</t>
  </si>
  <si>
    <t>Status (Matched/Pending)</t>
  </si>
  <si>
    <t>Client Payment - Apex Media</t>
  </si>
  <si>
    <t>AR / Sales Revenue</t>
  </si>
  <si>
    <t>QuickBooks Online Subscription</t>
  </si>
  <si>
    <t>Software &amp; Tech</t>
  </si>
  <si>
    <t>Office Depot Supplies</t>
  </si>
  <si>
    <t>Office Expense</t>
  </si>
  <si>
    <t>Client Payment - Horizon Group</t>
  </si>
  <si>
    <t>Vendor Invoice - Cloud Hosting</t>
  </si>
  <si>
    <t>AP / IT Expenses</t>
  </si>
  <si>
    <t>Contractor Fee - Graphic Design</t>
  </si>
  <si>
    <t>Professional Services</t>
  </si>
  <si>
    <t>Client Payment - Summit Corp</t>
  </si>
  <si>
    <t>Vendor Payment - HVAC Repair</t>
  </si>
  <si>
    <t>AP / Facilities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</si>
</sst>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yyyy-mm-dd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sz val="12.0"/>
      <color rgb="FFFFFFFF"/>
      <name val="Arial"/>
      <scheme val="minor"/>
    </font>
    <font/>
    <font>
      <sz val="12.0"/>
      <color theme="1"/>
      <name val="Arial"/>
      <scheme val="minor"/>
    </font>
    <font>
      <sz val="12.0"/>
      <color rgb="FF000000"/>
      <name val="Arial"/>
      <scheme val="minor"/>
    </font>
    <font>
      <b/>
      <color rgb="FFFFFFFF"/>
      <name val="Arial"/>
      <scheme val="minor"/>
    </font>
    <font>
      <b/>
      <sz val="12.0"/>
      <color rgb="FFFFFFF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theme="7"/>
        <bgColor theme="7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double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1" fillId="2" fontId="3" numFmtId="0" xfId="0" applyAlignment="1" applyBorder="1" applyFill="1" applyFont="1">
      <alignment horizontal="center" readingOrder="0"/>
    </xf>
    <xf borderId="2" fillId="2" fontId="3" numFmtId="0" xfId="0" applyAlignment="1" applyBorder="1" applyFill="1" applyFont="1">
      <alignment horizontal="center" readingOrder="0"/>
    </xf>
    <xf borderId="3" fillId="0" fontId="4" numFmtId="0" xfId="0" applyBorder="1" applyFont="1"/>
    <xf borderId="0" fillId="0" fontId="5" numFmtId="0" xfId="0" applyFont="1"/>
    <xf borderId="4" fillId="0" fontId="4" numFmtId="0" xfId="0" applyBorder="1" applyFont="1"/>
    <xf borderId="5" fillId="0" fontId="5" numFmtId="0" xfId="0" applyAlignment="1" applyBorder="1" applyFont="1">
      <alignment horizontal="center" readingOrder="0"/>
    </xf>
    <xf borderId="6" fillId="0" fontId="4" numFmtId="0" xfId="0" applyBorder="1" applyFont="1"/>
    <xf borderId="0" fillId="0" fontId="5" numFmtId="0" xfId="0" applyAlignment="1" applyFont="1">
      <alignment horizontal="center"/>
    </xf>
    <xf borderId="6" fillId="2" fontId="3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center"/>
    </xf>
    <xf borderId="5" fillId="0" fontId="5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7" fillId="0" fontId="4" numFmtId="0" xfId="0" applyBorder="1" applyFont="1"/>
    <xf borderId="5" fillId="0" fontId="5" numFmtId="164" xfId="0" applyAlignment="1" applyBorder="1" applyFont="1" applyNumberFormat="1">
      <alignment readingOrder="0"/>
    </xf>
    <xf borderId="5" fillId="0" fontId="5" numFmtId="164" xfId="0" applyBorder="1" applyFont="1" applyNumberFormat="1"/>
    <xf borderId="5" fillId="0" fontId="5" numFmtId="164" xfId="0" applyAlignment="1" applyBorder="1" applyFont="1" applyNumberFormat="1">
      <alignment readingOrder="0"/>
    </xf>
    <xf borderId="5" fillId="0" fontId="5" numFmtId="10" xfId="0" applyBorder="1" applyFont="1" applyNumberFormat="1"/>
    <xf borderId="8" fillId="0" fontId="5" numFmtId="164" xfId="0" applyBorder="1" applyFont="1" applyNumberFormat="1"/>
    <xf borderId="9" fillId="3" fontId="6" numFmtId="164" xfId="0" applyBorder="1" applyFill="1" applyFont="1" applyNumberFormat="1"/>
    <xf borderId="0" fillId="0" fontId="7" numFmtId="0" xfId="0" applyAlignment="1" applyFont="1">
      <alignment horizontal="center" readingOrder="0"/>
    </xf>
    <xf borderId="5" fillId="2" fontId="8" numFmtId="0" xfId="0" applyAlignment="1" applyBorder="1" applyFill="1" applyFont="1">
      <alignment horizontal="center" readingOrder="0"/>
    </xf>
    <xf borderId="0" fillId="0" fontId="1" numFmtId="165" xfId="0" applyAlignment="1" applyFont="1" applyNumberFormat="1">
      <alignment horizontal="left" readingOrder="0"/>
    </xf>
    <xf borderId="5" fillId="0" fontId="5" numFmtId="165" xfId="0" applyAlignment="1" applyBorder="1" applyFont="1" applyNumberFormat="1">
      <alignment horizontal="left" readingOrder="0"/>
    </xf>
    <xf borderId="5" fillId="0" fontId="5" numFmtId="0" xfId="0" applyAlignment="1" applyBorder="1" applyFont="1">
      <alignment readingOrder="0"/>
    </xf>
    <xf borderId="5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3" max="3" width="37.13"/>
    <col customWidth="1" min="4" max="4" width="29.38"/>
    <col customWidth="1" min="5" max="5" width="19.5"/>
    <col customWidth="1" min="6" max="6" width="19.13"/>
    <col customWidth="1" min="7" max="7" width="20.88"/>
    <col customWidth="1" min="8" max="8" width="29.25"/>
  </cols>
  <sheetData>
    <row r="1">
      <c r="A1" s="1"/>
      <c r="B1" s="1"/>
      <c r="C1" s="1"/>
      <c r="D1" s="1"/>
      <c r="E1" s="1"/>
      <c r="F1" s="1"/>
      <c r="G1" s="1"/>
      <c r="H1" s="2"/>
    </row>
    <row r="2">
      <c r="A2" s="3"/>
      <c r="B2" s="5" t="s">
        <v>1</v>
      </c>
      <c r="C2" s="8"/>
      <c r="D2" s="8"/>
      <c r="E2" s="8"/>
      <c r="F2" s="8"/>
      <c r="G2" s="10"/>
      <c r="H2" s="12" t="s">
        <v>4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>
      <c r="A3" s="2"/>
      <c r="B3" s="15" t="s">
        <v>6</v>
      </c>
      <c r="C3" s="16"/>
      <c r="D3" s="16"/>
      <c r="E3" s="16"/>
      <c r="F3" s="16"/>
      <c r="G3" s="6"/>
      <c r="H3" s="17">
        <v>18450.0</v>
      </c>
    </row>
    <row r="4">
      <c r="A4" s="2"/>
      <c r="B4" s="15" t="s">
        <v>7</v>
      </c>
      <c r="C4" s="16"/>
      <c r="D4" s="16"/>
      <c r="E4" s="16"/>
      <c r="F4" s="16"/>
      <c r="G4" s="6"/>
      <c r="H4" s="18">
        <f>SUMIFS(F10:F17, H10:H17, "Outstanding Check / AP")</f>
        <v>-1250</v>
      </c>
    </row>
    <row r="5">
      <c r="A5" s="2"/>
      <c r="B5" s="15" t="s">
        <v>11</v>
      </c>
      <c r="C5" s="16"/>
      <c r="D5" s="16"/>
      <c r="E5" s="16"/>
      <c r="F5" s="16"/>
      <c r="G5" s="6"/>
      <c r="H5" s="18">
        <f>SUMIFS(F10:F17, H10:H17, "Deposit in Transit")</f>
        <v>2100</v>
      </c>
    </row>
    <row r="6">
      <c r="A6" s="2"/>
      <c r="B6" s="15" t="s">
        <v>17</v>
      </c>
      <c r="C6" s="16"/>
      <c r="D6" s="16"/>
      <c r="E6" s="16"/>
      <c r="F6" s="16"/>
      <c r="G6" s="6"/>
      <c r="H6" s="21">
        <f>SUM(H3:H5)</f>
        <v>19300</v>
      </c>
    </row>
    <row r="7">
      <c r="A7" s="2"/>
      <c r="B7" s="15" t="s">
        <v>21</v>
      </c>
      <c r="C7" s="16"/>
      <c r="D7" s="16"/>
      <c r="E7" s="16"/>
      <c r="F7" s="16"/>
      <c r="G7" s="6"/>
      <c r="H7" s="22">
        <f>H6 - (SUM(F10:F17) + (H3 - SUM(E10:E17)))</f>
        <v>0</v>
      </c>
    </row>
    <row r="8">
      <c r="B8" s="7"/>
      <c r="C8" s="7"/>
      <c r="D8" s="7"/>
      <c r="E8" s="7"/>
      <c r="F8" s="7"/>
      <c r="G8" s="7"/>
      <c r="H8" s="7"/>
    </row>
    <row r="9">
      <c r="A9" s="23"/>
      <c r="B9" s="24" t="s">
        <v>23</v>
      </c>
      <c r="C9" s="24" t="s">
        <v>24</v>
      </c>
      <c r="D9" s="24" t="s">
        <v>25</v>
      </c>
      <c r="E9" s="24" t="s">
        <v>26</v>
      </c>
      <c r="F9" s="24" t="s">
        <v>27</v>
      </c>
      <c r="G9" s="24" t="s">
        <v>28</v>
      </c>
      <c r="H9" s="24" t="s">
        <v>29</v>
      </c>
    </row>
    <row r="10">
      <c r="A10" s="25"/>
      <c r="B10" s="26">
        <v>46267.0</v>
      </c>
      <c r="C10" s="14" t="s">
        <v>30</v>
      </c>
      <c r="D10" s="27" t="s">
        <v>31</v>
      </c>
      <c r="E10" s="17">
        <v>4500.0</v>
      </c>
      <c r="F10" s="17">
        <v>4500.0</v>
      </c>
      <c r="G10" s="18">
        <f t="shared" ref="G10:G17" si="1">E10-F10</f>
        <v>0</v>
      </c>
      <c r="H10" s="28" t="str">
        <f t="shared" ref="H10:H17" si="2">IFS(E10=F10, "Reconciled &amp; Matched", E10=0, IF(F10&gt;0, "Deposit in Transit", "Outstanding Check / AP"))</f>
        <v>Reconciled &amp; Matched</v>
      </c>
    </row>
    <row r="11">
      <c r="A11" s="25"/>
      <c r="B11" s="26">
        <v>46270.0</v>
      </c>
      <c r="C11" s="14" t="s">
        <v>32</v>
      </c>
      <c r="D11" s="27" t="s">
        <v>33</v>
      </c>
      <c r="E11" s="17">
        <v>-90.0</v>
      </c>
      <c r="F11" s="17">
        <v>-90.0</v>
      </c>
      <c r="G11" s="18">
        <f t="shared" si="1"/>
        <v>0</v>
      </c>
      <c r="H11" s="28" t="str">
        <f t="shared" si="2"/>
        <v>Reconciled &amp; Matched</v>
      </c>
    </row>
    <row r="12">
      <c r="A12" s="25"/>
      <c r="B12" s="26">
        <v>46275.0</v>
      </c>
      <c r="C12" s="14" t="s">
        <v>34</v>
      </c>
      <c r="D12" s="27" t="s">
        <v>35</v>
      </c>
      <c r="E12" s="17">
        <v>-145.5</v>
      </c>
      <c r="F12" s="17">
        <v>-145.5</v>
      </c>
      <c r="G12" s="18">
        <f t="shared" si="1"/>
        <v>0</v>
      </c>
      <c r="H12" s="28" t="str">
        <f t="shared" si="2"/>
        <v>Reconciled &amp; Matched</v>
      </c>
    </row>
    <row r="13">
      <c r="A13" s="25"/>
      <c r="B13" s="26">
        <v>46279.0</v>
      </c>
      <c r="C13" s="14" t="s">
        <v>36</v>
      </c>
      <c r="D13" s="27" t="s">
        <v>31</v>
      </c>
      <c r="E13" s="17">
        <v>3200.0</v>
      </c>
      <c r="F13" s="17">
        <v>3200.0</v>
      </c>
      <c r="G13" s="18">
        <f t="shared" si="1"/>
        <v>0</v>
      </c>
      <c r="H13" s="28" t="str">
        <f t="shared" si="2"/>
        <v>Reconciled &amp; Matched</v>
      </c>
      <c r="M13" s="13"/>
    </row>
    <row r="14">
      <c r="A14" s="25"/>
      <c r="B14" s="26">
        <v>46283.0</v>
      </c>
      <c r="C14" s="14" t="s">
        <v>37</v>
      </c>
      <c r="D14" s="27" t="s">
        <v>38</v>
      </c>
      <c r="E14" s="17">
        <v>-450.0</v>
      </c>
      <c r="F14" s="17">
        <v>-450.0</v>
      </c>
      <c r="G14" s="18">
        <f t="shared" si="1"/>
        <v>0</v>
      </c>
      <c r="H14" s="28" t="str">
        <f t="shared" si="2"/>
        <v>Reconciled &amp; Matched</v>
      </c>
    </row>
    <row r="15">
      <c r="A15" s="25"/>
      <c r="B15" s="26">
        <v>46287.0</v>
      </c>
      <c r="C15" s="14" t="s">
        <v>39</v>
      </c>
      <c r="D15" s="27" t="s">
        <v>40</v>
      </c>
      <c r="E15" s="17">
        <v>-850.0</v>
      </c>
      <c r="F15" s="17">
        <v>-850.0</v>
      </c>
      <c r="G15" s="18">
        <f t="shared" si="1"/>
        <v>0</v>
      </c>
      <c r="H15" s="28" t="str">
        <f t="shared" si="2"/>
        <v>Reconciled &amp; Matched</v>
      </c>
    </row>
    <row r="16">
      <c r="A16" s="25"/>
      <c r="B16" s="26">
        <v>46292.0</v>
      </c>
      <c r="C16" s="14" t="s">
        <v>41</v>
      </c>
      <c r="D16" s="27" t="s">
        <v>31</v>
      </c>
      <c r="E16" s="17">
        <v>0.0</v>
      </c>
      <c r="F16" s="17">
        <v>2100.0</v>
      </c>
      <c r="G16" s="18">
        <f t="shared" si="1"/>
        <v>-2100</v>
      </c>
      <c r="H16" s="28" t="str">
        <f t="shared" si="2"/>
        <v>Deposit in Transit</v>
      </c>
    </row>
    <row r="17">
      <c r="A17" s="25"/>
      <c r="B17" s="26">
        <v>46294.0</v>
      </c>
      <c r="C17" s="14" t="s">
        <v>42</v>
      </c>
      <c r="D17" s="27" t="s">
        <v>43</v>
      </c>
      <c r="E17" s="17">
        <v>0.0</v>
      </c>
      <c r="F17" s="17">
        <v>-1250.0</v>
      </c>
      <c r="G17" s="18">
        <f t="shared" si="1"/>
        <v>1250</v>
      </c>
      <c r="H17" s="28" t="str">
        <f t="shared" si="2"/>
        <v>Outstanding Check / AP</v>
      </c>
    </row>
    <row r="18">
      <c r="B18" s="7"/>
      <c r="C18" s="7"/>
      <c r="D18" s="7"/>
      <c r="E18" s="7"/>
      <c r="F18" s="7"/>
      <c r="G18" s="7"/>
      <c r="H18" s="7"/>
    </row>
  </sheetData>
  <mergeCells count="6">
    <mergeCell ref="B2:G2"/>
    <mergeCell ref="B3:G3"/>
    <mergeCell ref="B4:G4"/>
    <mergeCell ref="B5:G5"/>
    <mergeCell ref="B6:G6"/>
    <mergeCell ref="B7:G7"/>
  </mergeCells>
  <dataValidations>
    <dataValidation type="list" allowBlank="1" showErrorMessage="1" sqref="D10:D17">
      <formula1>"AR / Sales Revenue,AP / IT Expenses,AP / Facilities,Software &amp; Tech,Office Expense,Professional Services"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38.0"/>
    <col customWidth="1" min="3" max="3" width="25.5"/>
    <col customWidth="1" min="4" max="4" width="19.13"/>
  </cols>
  <sheetData>
    <row r="2">
      <c r="A2" s="2"/>
      <c r="B2" s="4" t="s">
        <v>0</v>
      </c>
      <c r="C2" s="6"/>
      <c r="D2" s="7"/>
      <c r="E2" s="7"/>
      <c r="F2" s="7"/>
    </row>
    <row r="3">
      <c r="A3" s="1"/>
      <c r="B3" s="9" t="s">
        <v>2</v>
      </c>
      <c r="C3" s="9" t="s">
        <v>3</v>
      </c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>
      <c r="A4" s="2"/>
      <c r="B4" s="14" t="s">
        <v>5</v>
      </c>
      <c r="C4" s="18">
        <f>SUMIFS(Bank_Reconciliation!F10:F17, Bank_Reconciliation!D10:D17, "AR / Sales Revenue")</f>
        <v>9800</v>
      </c>
      <c r="D4" s="7"/>
      <c r="E4" s="7"/>
      <c r="F4" s="7"/>
    </row>
    <row r="5">
      <c r="A5" s="2"/>
      <c r="B5" s="14" t="s">
        <v>8</v>
      </c>
      <c r="C5" s="18">
        <f>C16</f>
        <v>2785.5</v>
      </c>
      <c r="D5" s="7"/>
      <c r="E5" s="7"/>
      <c r="F5" s="7"/>
    </row>
    <row r="6">
      <c r="A6" s="2"/>
      <c r="B6" s="14" t="s">
        <v>9</v>
      </c>
      <c r="C6" s="18">
        <f>C4 - C5</f>
        <v>7014.5</v>
      </c>
      <c r="D6" s="7"/>
      <c r="E6" s="7"/>
      <c r="F6" s="7"/>
    </row>
    <row r="7">
      <c r="A7" s="2"/>
      <c r="B7" s="14" t="s">
        <v>10</v>
      </c>
      <c r="C7" s="18">
        <f>SUM(Bank_Reconciliation!E10:E17)</f>
        <v>6164.5</v>
      </c>
      <c r="D7" s="7"/>
      <c r="E7" s="7"/>
      <c r="F7" s="7"/>
    </row>
    <row r="8">
      <c r="B8" s="7"/>
      <c r="C8" s="7"/>
      <c r="D8" s="7"/>
      <c r="E8" s="7"/>
      <c r="F8" s="7"/>
    </row>
    <row r="9">
      <c r="B9" s="7"/>
      <c r="C9" s="7"/>
      <c r="D9" s="7"/>
      <c r="E9" s="7"/>
      <c r="F9" s="7"/>
    </row>
    <row r="10">
      <c r="B10" s="4" t="s">
        <v>12</v>
      </c>
      <c r="C10" s="16"/>
      <c r="D10" s="6"/>
      <c r="E10" s="7"/>
      <c r="F10" s="7"/>
    </row>
    <row r="11">
      <c r="A11" s="13"/>
      <c r="B11" s="9" t="s">
        <v>13</v>
      </c>
      <c r="C11" s="9" t="s">
        <v>14</v>
      </c>
      <c r="D11" s="9" t="s">
        <v>15</v>
      </c>
      <c r="E11" s="11"/>
      <c r="F11" s="11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>
      <c r="B12" s="14" t="s">
        <v>16</v>
      </c>
      <c r="C12" s="19">
        <v>850.0</v>
      </c>
      <c r="D12" s="20">
        <f t="shared" ref="D12:D15" si="1">C12/$C$16</f>
        <v>0.3051516783</v>
      </c>
      <c r="E12" s="7"/>
      <c r="F12" s="7"/>
    </row>
    <row r="13">
      <c r="B13" s="14" t="s">
        <v>18</v>
      </c>
      <c r="C13" s="19">
        <v>1250.0</v>
      </c>
      <c r="D13" s="20">
        <f t="shared" si="1"/>
        <v>0.4487524681</v>
      </c>
      <c r="E13" s="7"/>
      <c r="F13" s="7"/>
    </row>
    <row r="14">
      <c r="B14" s="14" t="s">
        <v>19</v>
      </c>
      <c r="C14" s="19">
        <v>540.0</v>
      </c>
      <c r="D14" s="20">
        <f t="shared" si="1"/>
        <v>0.1938610662</v>
      </c>
      <c r="E14" s="7"/>
      <c r="F14" s="7"/>
    </row>
    <row r="15">
      <c r="B15" s="14" t="s">
        <v>20</v>
      </c>
      <c r="C15" s="19">
        <v>145.5</v>
      </c>
      <c r="D15" s="20">
        <f t="shared" si="1"/>
        <v>0.05223478729</v>
      </c>
      <c r="E15" s="7"/>
      <c r="F15" s="7"/>
    </row>
    <row r="16">
      <c r="B16" s="14" t="s">
        <v>22</v>
      </c>
      <c r="C16" s="19">
        <v>2785.5</v>
      </c>
      <c r="D16" s="20">
        <f>SUM(D12:D15)</f>
        <v>1</v>
      </c>
      <c r="E16" s="7"/>
      <c r="F16" s="7"/>
    </row>
  </sheetData>
  <mergeCells count="2">
    <mergeCell ref="B2:C2"/>
    <mergeCell ref="B10:D10"/>
  </mergeCells>
  <drawing r:id="rId1"/>
</worksheet>
</file>